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zdom\Projects\math\quantitative_finance\credit_risk_modelling\"/>
    </mc:Choice>
  </mc:AlternateContent>
  <xr:revisionPtr revIDLastSave="0" documentId="8_{3E3D2993-FC09-49F1-A0D3-4D3E6E4114E4}" xr6:coauthVersionLast="47" xr6:coauthVersionMax="47" xr10:uidLastSave="{00000000-0000-0000-0000-000000000000}"/>
  <bookViews>
    <workbookView xWindow="-105" yWindow="0" windowWidth="19410" windowHeight="20985" xr2:uid="{51B6FE4E-D536-4AF2-AB98-FBC9BF35C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G10" i="1"/>
  <c r="H13" i="1" s="1"/>
  <c r="G9" i="1"/>
  <c r="G8" i="1"/>
  <c r="H12" i="1" s="1"/>
  <c r="G7" i="1"/>
  <c r="G6" i="1"/>
  <c r="H11" i="1" s="1"/>
  <c r="G5" i="1"/>
  <c r="G4" i="1"/>
  <c r="G15" i="1" s="1"/>
  <c r="G3" i="1"/>
  <c r="G14" i="1" s="1"/>
  <c r="G2" i="1"/>
  <c r="A3" i="1"/>
  <c r="A4" i="1" s="1"/>
  <c r="A5" i="1" s="1"/>
  <c r="A6" i="1" s="1"/>
  <c r="A7" i="1" s="1"/>
  <c r="A8" i="1" s="1"/>
  <c r="A9" i="1" s="1"/>
  <c r="A10" i="1" s="1"/>
  <c r="A11" i="1" s="1"/>
  <c r="H15" i="1" l="1"/>
  <c r="I15" i="1" s="1"/>
  <c r="H17" i="1" s="1"/>
  <c r="H14" i="1"/>
  <c r="G13" i="1"/>
  <c r="I13" i="1" s="1"/>
  <c r="G12" i="1"/>
  <c r="I12" i="1" s="1"/>
  <c r="G17" i="1" s="1"/>
  <c r="G11" i="1"/>
  <c r="I11" i="1" s="1"/>
  <c r="I14" i="1"/>
</calcChain>
</file>

<file path=xl/sharedStrings.xml><?xml version="1.0" encoding="utf-8"?>
<sst xmlns="http://schemas.openxmlformats.org/spreadsheetml/2006/main" count="23" uniqueCount="23">
  <si>
    <t>actual</t>
  </si>
  <si>
    <t>predicted</t>
  </si>
  <si>
    <t>numbver</t>
  </si>
  <si>
    <t>precision</t>
  </si>
  <si>
    <t>recall</t>
  </si>
  <si>
    <t>accuracy</t>
  </si>
  <si>
    <t>specificity</t>
  </si>
  <si>
    <t>roc is made of ? And ?</t>
  </si>
  <si>
    <t>FPR</t>
  </si>
  <si>
    <t>nume</t>
  </si>
  <si>
    <t>denomi</t>
  </si>
  <si>
    <t>ratio</t>
  </si>
  <si>
    <t>gini</t>
  </si>
  <si>
    <t>TP</t>
  </si>
  <si>
    <t>TN</t>
  </si>
  <si>
    <t>FP</t>
  </si>
  <si>
    <t>FN</t>
  </si>
  <si>
    <t>pred P</t>
  </si>
  <si>
    <t>pred N</t>
  </si>
  <si>
    <t>actual P</t>
  </si>
  <si>
    <t>actual N</t>
  </si>
  <si>
    <t>total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</si>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</sst>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EDEA-1C23-41AA-9CF7-7D7FB7C564F6}">
  <dimension ref="A1:I17"/>
  <sheetViews>
    <sheetView tabSelected="1" workbookViewId="0">
      <selection activeCell="J7" sqref="J7"/>
    </sheetView>
  </sheetViews>
  <sheetFormatPr defaultRowHeight="15" x14ac:dyDescent="0.25"/>
  <cols>
    <col min="6" max="6" width="20.42578125" bestFit="1" customWidth="1"/>
  </cols>
  <sheetData>
    <row r="1" spans="1:9" x14ac:dyDescent="0.25">
      <c r="A1" t="s">
        <v>2</v>
      </c>
      <c r="B1" t="s">
        <v>0</v>
      </c>
      <c r="C1" t="s">
        <v>1</v>
      </c>
      <c r="D1" t="s">
        <v>22</v>
      </c>
      <c r="G1" t="s">
        <v>9</v>
      </c>
      <c r="H1" t="s">
        <v>10</v>
      </c>
      <c r="I1" t="s">
        <v>11</v>
      </c>
    </row>
    <row r="2" spans="1:9" x14ac:dyDescent="0.25">
      <c r="A2">
        <v>1</v>
      </c>
      <c r="B2">
        <v>1</v>
      </c>
      <c r="C2">
        <v>1</v>
      </c>
      <c r="D2" t="str">
        <f>IF(AND(B2=1, C2=1), "TP",
IF(AND(B2=0, C2=1), "FP",
IF(AND(B2=1, C2=0), "FN",
"TN")))</f>
        <v>TP</v>
      </c>
      <c r="F2" t="s">
        <v>13</v>
      </c>
      <c r="G2">
        <f>COUNTIFS(B2:B11,"=1",C2:C11,"=1")</f>
        <v>3</v>
      </c>
    </row>
    <row r="3" spans="1:9" x14ac:dyDescent="0.25">
      <c r="A3">
        <f>A2+1</f>
        <v>2</v>
      </c>
      <c r="B3">
        <v>1</v>
      </c>
      <c r="C3">
        <v>1</v>
      </c>
      <c r="D3" t="str">
        <f t="shared" ref="D3:D11" si="0">IF(AND(B3=1, C3=1), "TP",
IF(AND(B3=0, C3=1), "FP",
IF(AND(B3=1, C3=0), "FN",
"TN")))</f>
        <v>TP</v>
      </c>
      <c r="F3" t="s">
        <v>14</v>
      </c>
      <c r="G3">
        <f>COUNTIFS(B2:B11,"=0",C2:C11,"=0")</f>
        <v>5</v>
      </c>
    </row>
    <row r="4" spans="1:9" x14ac:dyDescent="0.25">
      <c r="A4">
        <f t="shared" ref="A4:A11" si="1">A3+1</f>
        <v>3</v>
      </c>
      <c r="B4">
        <v>0</v>
      </c>
      <c r="C4">
        <v>1</v>
      </c>
      <c r="D4" t="str">
        <f t="shared" si="0"/>
        <v>FP</v>
      </c>
      <c r="F4" t="s">
        <v>15</v>
      </c>
      <c r="G4">
        <f>COUNTIFS(B2:B11,"=0",C2:C11,"=1")</f>
        <v>2</v>
      </c>
    </row>
    <row r="5" spans="1:9" x14ac:dyDescent="0.25">
      <c r="A5">
        <f t="shared" si="1"/>
        <v>4</v>
      </c>
      <c r="B5">
        <v>1</v>
      </c>
      <c r="C5">
        <v>1</v>
      </c>
      <c r="D5" t="str">
        <f t="shared" si="0"/>
        <v>TP</v>
      </c>
      <c r="F5" t="s">
        <v>16</v>
      </c>
      <c r="G5">
        <f>COUNTIFS(B2:B11,"=1",C2:C11,"=0")</f>
        <v>0</v>
      </c>
    </row>
    <row r="6" spans="1:9" x14ac:dyDescent="0.25">
      <c r="A6">
        <f t="shared" si="1"/>
        <v>5</v>
      </c>
      <c r="B6">
        <v>0</v>
      </c>
      <c r="C6">
        <v>1</v>
      </c>
      <c r="D6" t="str">
        <f t="shared" si="0"/>
        <v>FP</v>
      </c>
      <c r="F6" t="s">
        <v>17</v>
      </c>
      <c r="G6">
        <f>COUNTIF(C2:C11,"=1")</f>
        <v>5</v>
      </c>
    </row>
    <row r="7" spans="1:9" x14ac:dyDescent="0.25">
      <c r="A7">
        <f t="shared" si="1"/>
        <v>6</v>
      </c>
      <c r="B7">
        <v>0</v>
      </c>
      <c r="C7">
        <v>0</v>
      </c>
      <c r="D7" t="str">
        <f t="shared" si="0"/>
        <v>TN</v>
      </c>
      <c r="F7" t="s">
        <v>18</v>
      </c>
      <c r="G7">
        <f>COUNTIF(C2:C11,"=0")</f>
        <v>5</v>
      </c>
    </row>
    <row r="8" spans="1:9" x14ac:dyDescent="0.25">
      <c r="A8">
        <f t="shared" si="1"/>
        <v>7</v>
      </c>
      <c r="B8">
        <v>0</v>
      </c>
      <c r="C8">
        <v>0</v>
      </c>
      <c r="D8" t="str">
        <f t="shared" si="0"/>
        <v>TN</v>
      </c>
      <c r="F8" t="s">
        <v>19</v>
      </c>
      <c r="G8">
        <f>COUNTIF(B2:B11,"=1")</f>
        <v>3</v>
      </c>
    </row>
    <row r="9" spans="1:9" x14ac:dyDescent="0.25">
      <c r="A9">
        <f t="shared" si="1"/>
        <v>8</v>
      </c>
      <c r="B9">
        <v>0</v>
      </c>
      <c r="C9">
        <v>0</v>
      </c>
      <c r="D9" t="str">
        <f t="shared" si="0"/>
        <v>TN</v>
      </c>
      <c r="F9" t="s">
        <v>20</v>
      </c>
      <c r="G9">
        <f>COUNTIF(B2:B11,"=0")</f>
        <v>7</v>
      </c>
    </row>
    <row r="10" spans="1:9" x14ac:dyDescent="0.25">
      <c r="A10">
        <f t="shared" si="1"/>
        <v>9</v>
      </c>
      <c r="B10">
        <v>0</v>
      </c>
      <c r="C10">
        <v>0</v>
      </c>
      <c r="D10" t="str">
        <f t="shared" si="0"/>
        <v>TN</v>
      </c>
      <c r="F10" t="s">
        <v>21</v>
      </c>
      <c r="G10">
        <f>COUNT(C2:C11)</f>
        <v>10</v>
      </c>
    </row>
    <row r="11" spans="1:9" x14ac:dyDescent="0.25">
      <c r="A11">
        <f t="shared" si="1"/>
        <v>10</v>
      </c>
      <c r="B11">
        <v>0</v>
      </c>
      <c r="C11">
        <v>0</v>
      </c>
      <c r="D11" t="str">
        <f t="shared" si="0"/>
        <v>TN</v>
      </c>
      <c r="F11" t="s">
        <v>3</v>
      </c>
      <c r="G11">
        <f>G2</f>
        <v>3</v>
      </c>
      <c r="H11">
        <f>G6</f>
        <v>5</v>
      </c>
      <c r="I11">
        <f>G11/H11</f>
        <v>0.6</v>
      </c>
    </row>
    <row r="12" spans="1:9" x14ac:dyDescent="0.25">
      <c r="F12" t="s">
        <v>4</v>
      </c>
      <c r="G12">
        <f>G2</f>
        <v>3</v>
      </c>
      <c r="H12">
        <f>G8</f>
        <v>3</v>
      </c>
      <c r="I12">
        <f>G12/H12</f>
        <v>1</v>
      </c>
    </row>
    <row r="13" spans="1:9" x14ac:dyDescent="0.25">
      <c r="F13" t="s">
        <v>5</v>
      </c>
      <c r="G13">
        <f>G2+G3</f>
        <v>8</v>
      </c>
      <c r="H13">
        <f>G10</f>
        <v>10</v>
      </c>
      <c r="I13">
        <f>G13/H13</f>
        <v>0.8</v>
      </c>
    </row>
    <row r="14" spans="1:9" x14ac:dyDescent="0.25">
      <c r="F14" t="s">
        <v>6</v>
      </c>
      <c r="G14">
        <f>G3</f>
        <v>5</v>
      </c>
      <c r="H14">
        <f>G9</f>
        <v>7</v>
      </c>
      <c r="I14">
        <f>G14/H14</f>
        <v>0.7142857142857143</v>
      </c>
    </row>
    <row r="15" spans="1:9" x14ac:dyDescent="0.25">
      <c r="F15" t="s">
        <v>8</v>
      </c>
      <c r="G15">
        <f>G4</f>
        <v>2</v>
      </c>
      <c r="H15">
        <f>G9</f>
        <v>7</v>
      </c>
      <c r="I15">
        <f>G15/H15</f>
        <v>0.2857142857142857</v>
      </c>
    </row>
    <row r="16" spans="1:9" x14ac:dyDescent="0.25">
      <c r="F16" t="s">
        <v>12</v>
      </c>
    </row>
    <row r="17" spans="6:8" x14ac:dyDescent="0.25">
      <c r="F17" t="s">
        <v>7</v>
      </c>
      <c r="G17">
        <f>I12</f>
        <v>1</v>
      </c>
      <c r="H17">
        <f>I15</f>
        <v>0.2857142857142857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zhang</dc:creator>
  <cp:lastModifiedBy>dominic zhang</cp:lastModifiedBy>
  <dcterms:created xsi:type="dcterms:W3CDTF">2026-02-07T15:47:11Z</dcterms:created>
  <dcterms:modified xsi:type="dcterms:W3CDTF">2026-02-07T16:56:40Z</dcterms:modified>
</cp:coreProperties>
</file>